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2\Desktop\iletim\"/>
    </mc:Choice>
  </mc:AlternateContent>
  <xr:revisionPtr revIDLastSave="0" documentId="13_ncr:1_{11016672-17EE-4666-A254-49EB86D90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" l="1"/>
  <c r="W40" i="1" s="1"/>
  <c r="S22" i="1"/>
  <c r="M30" i="1"/>
  <c r="I30" i="1"/>
  <c r="M25" i="1"/>
  <c r="I32" i="1" s="1"/>
  <c r="M24" i="1"/>
  <c r="S23" i="1"/>
  <c r="U30" i="1" s="1"/>
  <c r="F23" i="1"/>
  <c r="F22" i="1"/>
  <c r="W42" i="1" l="1"/>
  <c r="W41" i="1"/>
  <c r="E30" i="1"/>
  <c r="I34" i="1"/>
  <c r="Q30" i="1"/>
  <c r="T25" i="1"/>
  <c r="U33" i="1" s="1"/>
  <c r="T24" i="1"/>
  <c r="G24" i="1"/>
  <c r="G25" i="1"/>
  <c r="W37" i="1" l="1"/>
  <c r="W36" i="1"/>
</calcChain>
</file>

<file path=xl/sharedStrings.xml><?xml version="1.0" encoding="utf-8"?>
<sst xmlns="http://schemas.openxmlformats.org/spreadsheetml/2006/main" count="54" uniqueCount="28">
  <si>
    <t>GÜÇ(MVA)</t>
  </si>
  <si>
    <t>GERİLİM(kV)</t>
  </si>
  <si>
    <t>EMPEDANS(MVA)</t>
  </si>
  <si>
    <t>AKIM(A)</t>
  </si>
  <si>
    <t>ÜRETİM</t>
  </si>
  <si>
    <t>İLETİM</t>
  </si>
  <si>
    <t>YÜK</t>
  </si>
  <si>
    <t>MVA</t>
  </si>
  <si>
    <t>kV</t>
  </si>
  <si>
    <t>ohm</t>
  </si>
  <si>
    <t>A</t>
  </si>
  <si>
    <t>GENERATÖR</t>
  </si>
  <si>
    <t>HAT</t>
  </si>
  <si>
    <t>TRAFO 1</t>
  </si>
  <si>
    <t>TRAFO2</t>
  </si>
  <si>
    <t>M=</t>
  </si>
  <si>
    <t>k=</t>
  </si>
  <si>
    <t>Rypu</t>
  </si>
  <si>
    <t>Xypu</t>
  </si>
  <si>
    <t>Iyük</t>
  </si>
  <si>
    <t>Iyük-pu</t>
  </si>
  <si>
    <t>Iyp</t>
  </si>
  <si>
    <t>Iyq</t>
  </si>
  <si>
    <t>pu</t>
  </si>
  <si>
    <t>Kv</t>
  </si>
  <si>
    <t>geri</t>
  </si>
  <si>
    <t>G220100029</t>
  </si>
  <si>
    <t>Meriç Yaman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</si>
</sst>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16998</xdr:colOff>
      <xdr:row>3</xdr:row>
      <xdr:rowOff>5861</xdr:rowOff>
    </xdr:from>
    <xdr:to>
      <xdr:col>16</xdr:col>
      <xdr:colOff>5862</xdr:colOff>
      <xdr:row>14</xdr:row>
      <xdr:rowOff>32531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50B40F0-7777-A752-12F6-BC94812AA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198" y="550984"/>
          <a:ext cx="8523264" cy="2025455"/>
        </a:xfrm>
        <a:prstGeom prst="rect">
          <a:avLst/>
        </a:prstGeom>
      </xdr:spPr>
    </xdr:pic>
    <xdr:clientData/>
  </xdr:twoCellAnchor>
  <xdr:oneCellAnchor>
    <xdr:from>
      <xdr:col>2</xdr:col>
      <xdr:colOff>301870</xdr:colOff>
      <xdr:row>15</xdr:row>
      <xdr:rowOff>0</xdr:rowOff>
    </xdr:from>
    <xdr:ext cx="17793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9852E27B-5A9E-BA2D-B8AA-CC629A88D140}"/>
                </a:ext>
              </a:extLst>
            </xdr:cNvPr>
            <xdr:cNvSpPr txBox="1"/>
          </xdr:nvSpPr>
          <xdr:spPr>
            <a:xfrm>
              <a:off x="1521070" y="2725615"/>
              <a:ext cx="1779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𝐺</m:t>
                        </m:r>
                      </m:sub>
                    </m:sSub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9852E27B-5A9E-BA2D-B8AA-CC629A88D140}"/>
                </a:ext>
              </a:extLst>
            </xdr:cNvPr>
            <xdr:cNvSpPr txBox="1"/>
          </xdr:nvSpPr>
          <xdr:spPr>
            <a:xfrm>
              <a:off x="1521070" y="2725615"/>
              <a:ext cx="1779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𝑆_𝐺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2</xdr:col>
      <xdr:colOff>290146</xdr:colOff>
      <xdr:row>16</xdr:row>
      <xdr:rowOff>5861</xdr:rowOff>
    </xdr:from>
    <xdr:ext cx="1981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Metin kutusu 4">
              <a:extLst>
                <a:ext uri="{FF2B5EF4-FFF2-40B4-BE49-F238E27FC236}">
                  <a16:creationId xmlns:a16="http://schemas.microsoft.com/office/drawing/2014/main" id="{B83E0388-145A-40A3-A2FF-896D796D54D3}"/>
                </a:ext>
              </a:extLst>
            </xdr:cNvPr>
            <xdr:cNvSpPr txBox="1"/>
          </xdr:nvSpPr>
          <xdr:spPr>
            <a:xfrm>
              <a:off x="1509346" y="2913184"/>
              <a:ext cx="1981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𝑈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𝐺</m:t>
                        </m:r>
                      </m:sub>
                    </m:sSub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5" name="Metin kutusu 4">
              <a:extLst>
                <a:ext uri="{FF2B5EF4-FFF2-40B4-BE49-F238E27FC236}">
                  <a16:creationId xmlns:a16="http://schemas.microsoft.com/office/drawing/2014/main" id="{B83E0388-145A-40A3-A2FF-896D796D54D3}"/>
                </a:ext>
              </a:extLst>
            </xdr:cNvPr>
            <xdr:cNvSpPr txBox="1"/>
          </xdr:nvSpPr>
          <xdr:spPr>
            <a:xfrm>
              <a:off x="1509346" y="2913184"/>
              <a:ext cx="1981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𝑈_𝐺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2</xdr:col>
      <xdr:colOff>296007</xdr:colOff>
      <xdr:row>17</xdr:row>
      <xdr:rowOff>0</xdr:rowOff>
    </xdr:from>
    <xdr:ext cx="2701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Metin kutusu 5">
              <a:extLst>
                <a:ext uri="{FF2B5EF4-FFF2-40B4-BE49-F238E27FC236}">
                  <a16:creationId xmlns:a16="http://schemas.microsoft.com/office/drawing/2014/main" id="{3314A3BF-904B-45C3-B6DA-F82AB6B6DA23}"/>
                </a:ext>
              </a:extLst>
            </xdr:cNvPr>
            <xdr:cNvSpPr txBox="1"/>
          </xdr:nvSpPr>
          <xdr:spPr>
            <a:xfrm>
              <a:off x="1513504" y="3111855"/>
              <a:ext cx="2701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𝐺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6" name="Metin kutusu 5">
              <a:extLst>
                <a:ext uri="{FF2B5EF4-FFF2-40B4-BE49-F238E27FC236}">
                  <a16:creationId xmlns:a16="http://schemas.microsoft.com/office/drawing/2014/main" id="{3314A3BF-904B-45C3-B6DA-F82AB6B6DA23}"/>
                </a:ext>
              </a:extLst>
            </xdr:cNvPr>
            <xdr:cNvSpPr txBox="1"/>
          </xdr:nvSpPr>
          <xdr:spPr>
            <a:xfrm>
              <a:off x="1513504" y="3111855"/>
              <a:ext cx="2701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latin typeface="Cambria Math" panose="02040503050406030204" pitchFamily="18" charset="0"/>
                </a:rPr>
                <a:t>𝑋_(𝐺 )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𝑗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5</xdr:col>
      <xdr:colOff>79131</xdr:colOff>
      <xdr:row>15</xdr:row>
      <xdr:rowOff>11723</xdr:rowOff>
    </xdr:from>
    <xdr:ext cx="2655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Metin kutusu 6">
              <a:extLst>
                <a:ext uri="{FF2B5EF4-FFF2-40B4-BE49-F238E27FC236}">
                  <a16:creationId xmlns:a16="http://schemas.microsoft.com/office/drawing/2014/main" id="{D5CA8794-177F-4E5C-B12A-5277664BCFF6}"/>
                </a:ext>
              </a:extLst>
            </xdr:cNvPr>
            <xdr:cNvSpPr txBox="1"/>
          </xdr:nvSpPr>
          <xdr:spPr>
            <a:xfrm>
              <a:off x="3127131" y="2754923"/>
              <a:ext cx="2655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𝑡𝑟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7" name="Metin kutusu 6">
              <a:extLst>
                <a:ext uri="{FF2B5EF4-FFF2-40B4-BE49-F238E27FC236}">
                  <a16:creationId xmlns:a16="http://schemas.microsoft.com/office/drawing/2014/main" id="{D5CA8794-177F-4E5C-B12A-5277664BCFF6}"/>
                </a:ext>
              </a:extLst>
            </xdr:cNvPr>
            <xdr:cNvSpPr txBox="1"/>
          </xdr:nvSpPr>
          <xdr:spPr>
            <a:xfrm>
              <a:off x="3127131" y="2754923"/>
              <a:ext cx="2655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𝑡𝑟1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5</xdr:col>
      <xdr:colOff>73270</xdr:colOff>
      <xdr:row>16</xdr:row>
      <xdr:rowOff>158261</xdr:rowOff>
    </xdr:from>
    <xdr:ext cx="3155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Metin kutusu 8">
              <a:extLst>
                <a:ext uri="{FF2B5EF4-FFF2-40B4-BE49-F238E27FC236}">
                  <a16:creationId xmlns:a16="http://schemas.microsoft.com/office/drawing/2014/main" id="{0EA5D664-4356-47C1-BEB7-9FCA91FFA743}"/>
                </a:ext>
              </a:extLst>
            </xdr:cNvPr>
            <xdr:cNvSpPr txBox="1"/>
          </xdr:nvSpPr>
          <xdr:spPr>
            <a:xfrm>
              <a:off x="3119869" y="3183849"/>
              <a:ext cx="3155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tr-TR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tr-T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tr-T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𝑡𝑟</m:t>
                      </m:r>
                      <m:r>
                        <a:rPr lang="tr-T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r>
                <a:rPr lang="tr-TR">
                  <a:effectLst/>
                </a:rPr>
                <a:t> j</a:t>
              </a:r>
            </a:p>
          </xdr:txBody>
        </xdr:sp>
      </mc:Choice>
      <mc:Fallback xmlns="">
        <xdr:sp macro="" textlink="">
          <xdr:nvSpPr>
            <xdr:cNvPr id="9" name="Metin kutusu 8">
              <a:extLst>
                <a:ext uri="{FF2B5EF4-FFF2-40B4-BE49-F238E27FC236}">
                  <a16:creationId xmlns:a16="http://schemas.microsoft.com/office/drawing/2014/main" id="{0EA5D664-4356-47C1-BEB7-9FCA91FFA743}"/>
                </a:ext>
              </a:extLst>
            </xdr:cNvPr>
            <xdr:cNvSpPr txBox="1"/>
          </xdr:nvSpPr>
          <xdr:spPr>
            <a:xfrm>
              <a:off x="3119869" y="3183849"/>
              <a:ext cx="3155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𝑋_𝑡𝑟1</a:t>
              </a:r>
              <a:r>
                <a:rPr lang="tr-TR">
                  <a:effectLst/>
                </a:rPr>
                <a:t> j</a:t>
              </a:r>
            </a:p>
          </xdr:txBody>
        </xdr:sp>
      </mc:Fallback>
    </mc:AlternateContent>
    <xdr:clientData/>
  </xdr:oneCellAnchor>
  <xdr:oneCellAnchor>
    <xdr:from>
      <xdr:col>8</xdr:col>
      <xdr:colOff>207938</xdr:colOff>
      <xdr:row>14</xdr:row>
      <xdr:rowOff>164681</xdr:rowOff>
    </xdr:from>
    <xdr:ext cx="37471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Metin kutusu 9">
              <a:extLst>
                <a:ext uri="{FF2B5EF4-FFF2-40B4-BE49-F238E27FC236}">
                  <a16:creationId xmlns:a16="http://schemas.microsoft.com/office/drawing/2014/main" id="{A7BA857B-3F30-449D-926A-7EC77AD2628C}"/>
                </a:ext>
              </a:extLst>
            </xdr:cNvPr>
            <xdr:cNvSpPr txBox="1"/>
          </xdr:nvSpPr>
          <xdr:spPr>
            <a:xfrm>
              <a:off x="5081644" y="2736915"/>
              <a:ext cx="37471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h𝑎𝑡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</m:t>
                    </m:r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10" name="Metin kutusu 9">
              <a:extLst>
                <a:ext uri="{FF2B5EF4-FFF2-40B4-BE49-F238E27FC236}">
                  <a16:creationId xmlns:a16="http://schemas.microsoft.com/office/drawing/2014/main" id="{A7BA857B-3F30-449D-926A-7EC77AD2628C}"/>
                </a:ext>
              </a:extLst>
            </xdr:cNvPr>
            <xdr:cNvSpPr txBox="1"/>
          </xdr:nvSpPr>
          <xdr:spPr>
            <a:xfrm>
              <a:off x="5081644" y="2736915"/>
              <a:ext cx="37471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𝑋_(ℎ𝑎𝑡 )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𝑗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11</xdr:col>
      <xdr:colOff>180017</xdr:colOff>
      <xdr:row>14</xdr:row>
      <xdr:rowOff>165845</xdr:rowOff>
    </xdr:from>
    <xdr:ext cx="2655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Metin kutusu 10">
              <a:extLst>
                <a:ext uri="{FF2B5EF4-FFF2-40B4-BE49-F238E27FC236}">
                  <a16:creationId xmlns:a16="http://schemas.microsoft.com/office/drawing/2014/main" id="{6DD7EE14-244E-424F-A7B5-C431964DD144}"/>
                </a:ext>
              </a:extLst>
            </xdr:cNvPr>
            <xdr:cNvSpPr txBox="1"/>
          </xdr:nvSpPr>
          <xdr:spPr>
            <a:xfrm>
              <a:off x="6885617" y="2726165"/>
              <a:ext cx="2655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𝑡𝑟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11" name="Metin kutusu 10">
              <a:extLst>
                <a:ext uri="{FF2B5EF4-FFF2-40B4-BE49-F238E27FC236}">
                  <a16:creationId xmlns:a16="http://schemas.microsoft.com/office/drawing/2014/main" id="{6DD7EE14-244E-424F-A7B5-C431964DD144}"/>
                </a:ext>
              </a:extLst>
            </xdr:cNvPr>
            <xdr:cNvSpPr txBox="1"/>
          </xdr:nvSpPr>
          <xdr:spPr>
            <a:xfrm>
              <a:off x="6885617" y="2726165"/>
              <a:ext cx="2655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𝑡𝑟2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11</xdr:col>
      <xdr:colOff>169547</xdr:colOff>
      <xdr:row>16</xdr:row>
      <xdr:rowOff>161191</xdr:rowOff>
    </xdr:from>
    <xdr:ext cx="356444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Metin kutusu 11">
              <a:extLst>
                <a:ext uri="{FF2B5EF4-FFF2-40B4-BE49-F238E27FC236}">
                  <a16:creationId xmlns:a16="http://schemas.microsoft.com/office/drawing/2014/main" id="{4E8A14A9-98E8-4F8E-B081-13D00BB1B7B3}"/>
                </a:ext>
              </a:extLst>
            </xdr:cNvPr>
            <xdr:cNvSpPr txBox="1"/>
          </xdr:nvSpPr>
          <xdr:spPr>
            <a:xfrm>
              <a:off x="6872065" y="3186779"/>
              <a:ext cx="356444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𝑡𝑟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2 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12" name="Metin kutusu 11">
              <a:extLst>
                <a:ext uri="{FF2B5EF4-FFF2-40B4-BE49-F238E27FC236}">
                  <a16:creationId xmlns:a16="http://schemas.microsoft.com/office/drawing/2014/main" id="{4E8A14A9-98E8-4F8E-B081-13D00BB1B7B3}"/>
                </a:ext>
              </a:extLst>
            </xdr:cNvPr>
            <xdr:cNvSpPr txBox="1"/>
          </xdr:nvSpPr>
          <xdr:spPr>
            <a:xfrm>
              <a:off x="6872065" y="3186779"/>
              <a:ext cx="356444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𝑋_(𝑡𝑟2 𝑗)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14</xdr:col>
      <xdr:colOff>159077</xdr:colOff>
      <xdr:row>14</xdr:row>
      <xdr:rowOff>156537</xdr:rowOff>
    </xdr:from>
    <xdr:ext cx="293542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Metin kutusu 12">
              <a:extLst>
                <a:ext uri="{FF2B5EF4-FFF2-40B4-BE49-F238E27FC236}">
                  <a16:creationId xmlns:a16="http://schemas.microsoft.com/office/drawing/2014/main" id="{A1EB1E66-57D0-41AB-ABCB-63A625D55838}"/>
                </a:ext>
              </a:extLst>
            </xdr:cNvPr>
            <xdr:cNvSpPr txBox="1"/>
          </xdr:nvSpPr>
          <xdr:spPr>
            <a:xfrm>
              <a:off x="8693477" y="2716857"/>
              <a:ext cx="293542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ü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13" name="Metin kutusu 12">
              <a:extLst>
                <a:ext uri="{FF2B5EF4-FFF2-40B4-BE49-F238E27FC236}">
                  <a16:creationId xmlns:a16="http://schemas.microsoft.com/office/drawing/2014/main" id="{A1EB1E66-57D0-41AB-ABCB-63A625D55838}"/>
                </a:ext>
              </a:extLst>
            </xdr:cNvPr>
            <xdr:cNvSpPr txBox="1"/>
          </xdr:nvSpPr>
          <xdr:spPr>
            <a:xfrm>
              <a:off x="8693477" y="2716857"/>
              <a:ext cx="293542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𝑦ü𝑘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14</xdr:col>
      <xdr:colOff>160240</xdr:colOff>
      <xdr:row>15</xdr:row>
      <xdr:rowOff>175151</xdr:rowOff>
    </xdr:from>
    <xdr:ext cx="3452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Metin kutusu 13">
              <a:extLst>
                <a:ext uri="{FF2B5EF4-FFF2-40B4-BE49-F238E27FC236}">
                  <a16:creationId xmlns:a16="http://schemas.microsoft.com/office/drawing/2014/main" id="{F627A4ED-8397-43AF-B1D9-8C3374CD6566}"/>
                </a:ext>
              </a:extLst>
            </xdr:cNvPr>
            <xdr:cNvSpPr txBox="1"/>
          </xdr:nvSpPr>
          <xdr:spPr>
            <a:xfrm>
              <a:off x="8694640" y="2918351"/>
              <a:ext cx="3452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tr-TR" b="0" i="0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Cos</m:t>
                    </m:r>
                    <m:r>
                      <a:rPr lang="tr-TR" i="1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14" name="Metin kutusu 13">
              <a:extLst>
                <a:ext uri="{FF2B5EF4-FFF2-40B4-BE49-F238E27FC236}">
                  <a16:creationId xmlns:a16="http://schemas.microsoft.com/office/drawing/2014/main" id="{F627A4ED-8397-43AF-B1D9-8C3374CD6566}"/>
                </a:ext>
              </a:extLst>
            </xdr:cNvPr>
            <xdr:cNvSpPr txBox="1"/>
          </xdr:nvSpPr>
          <xdr:spPr>
            <a:xfrm>
              <a:off x="8694640" y="2918351"/>
              <a:ext cx="3452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Cos</a:t>
              </a:r>
              <a:r>
                <a:rPr lang="tr-TR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𝜑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14</xdr:col>
      <xdr:colOff>155587</xdr:colOff>
      <xdr:row>16</xdr:row>
      <xdr:rowOff>170497</xdr:rowOff>
    </xdr:from>
    <xdr:ext cx="65" cy="172227"/>
    <xdr:sp macro="" textlink="">
      <xdr:nvSpPr>
        <xdr:cNvPr id="15" name="Metin kutusu 14">
          <a:extLst>
            <a:ext uri="{FF2B5EF4-FFF2-40B4-BE49-F238E27FC236}">
              <a16:creationId xmlns:a16="http://schemas.microsoft.com/office/drawing/2014/main" id="{5FBADF5B-A8BD-4CE3-8F7B-8801683A07F3}"/>
            </a:ext>
          </a:extLst>
        </xdr:cNvPr>
        <xdr:cNvSpPr txBox="1"/>
      </xdr:nvSpPr>
      <xdr:spPr>
        <a:xfrm>
          <a:off x="8689987" y="309657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>
            <a:effectLst/>
          </a:endParaRPr>
        </a:p>
      </xdr:txBody>
    </xdr:sp>
    <xdr:clientData/>
  </xdr:oneCellAnchor>
  <xdr:oneCellAnchor>
    <xdr:from>
      <xdr:col>14</xdr:col>
      <xdr:colOff>160240</xdr:colOff>
      <xdr:row>16</xdr:row>
      <xdr:rowOff>178199</xdr:rowOff>
    </xdr:from>
    <xdr:ext cx="3259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Metin kutusu 15">
              <a:extLst>
                <a:ext uri="{FF2B5EF4-FFF2-40B4-BE49-F238E27FC236}">
                  <a16:creationId xmlns:a16="http://schemas.microsoft.com/office/drawing/2014/main" id="{2B88B0AC-63BB-4A3D-8F3C-F79C2B35FE04}"/>
                </a:ext>
              </a:extLst>
            </xdr:cNvPr>
            <xdr:cNvSpPr txBox="1"/>
          </xdr:nvSpPr>
          <xdr:spPr>
            <a:xfrm>
              <a:off x="8694640" y="3104279"/>
              <a:ext cx="3259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tr-TR" b="0" i="0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S</m:t>
                    </m:r>
                    <m:r>
                      <a:rPr lang="tr-TR" b="0" i="1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𝑖𝑛</m:t>
                    </m:r>
                    <m:r>
                      <a:rPr lang="tr-TR" i="1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16" name="Metin kutusu 15">
              <a:extLst>
                <a:ext uri="{FF2B5EF4-FFF2-40B4-BE49-F238E27FC236}">
                  <a16:creationId xmlns:a16="http://schemas.microsoft.com/office/drawing/2014/main" id="{2B88B0AC-63BB-4A3D-8F3C-F79C2B35FE04}"/>
                </a:ext>
              </a:extLst>
            </xdr:cNvPr>
            <xdr:cNvSpPr txBox="1"/>
          </xdr:nvSpPr>
          <xdr:spPr>
            <a:xfrm>
              <a:off x="8694640" y="3104279"/>
              <a:ext cx="3259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S𝑖𝑛</a:t>
              </a:r>
              <a:r>
                <a:rPr lang="tr-TR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𝜑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5</xdr:col>
      <xdr:colOff>124066</xdr:colOff>
      <xdr:row>23</xdr:row>
      <xdr:rowOff>1844</xdr:rowOff>
    </xdr:from>
    <xdr:ext cx="4183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Metin kutusu 16">
              <a:extLst>
                <a:ext uri="{FF2B5EF4-FFF2-40B4-BE49-F238E27FC236}">
                  <a16:creationId xmlns:a16="http://schemas.microsoft.com/office/drawing/2014/main" id="{1716FFAB-DB6B-CBD1-3DF5-6E08CE2FD9C9}"/>
                </a:ext>
              </a:extLst>
            </xdr:cNvPr>
            <xdr:cNvSpPr txBox="1"/>
          </xdr:nvSpPr>
          <xdr:spPr>
            <a:xfrm>
              <a:off x="3172066" y="4208084"/>
              <a:ext cx="4183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𝐵𝑎𝑧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17" name="Metin kutusu 16">
              <a:extLst>
                <a:ext uri="{FF2B5EF4-FFF2-40B4-BE49-F238E27FC236}">
                  <a16:creationId xmlns:a16="http://schemas.microsoft.com/office/drawing/2014/main" id="{1716FFAB-DB6B-CBD1-3DF5-6E08CE2FD9C9}"/>
                </a:ext>
              </a:extLst>
            </xdr:cNvPr>
            <xdr:cNvSpPr txBox="1"/>
          </xdr:nvSpPr>
          <xdr:spPr>
            <a:xfrm>
              <a:off x="3172066" y="4208084"/>
              <a:ext cx="4183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𝐼_𝐵𝑎𝑧=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11</xdr:col>
      <xdr:colOff>117566</xdr:colOff>
      <xdr:row>23</xdr:row>
      <xdr:rowOff>0</xdr:rowOff>
    </xdr:from>
    <xdr:ext cx="4183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Metin kutusu 17">
              <a:extLst>
                <a:ext uri="{FF2B5EF4-FFF2-40B4-BE49-F238E27FC236}">
                  <a16:creationId xmlns:a16="http://schemas.microsoft.com/office/drawing/2014/main" id="{F80C8955-11CF-48AE-928D-0277FA1ECFBB}"/>
                </a:ext>
              </a:extLst>
            </xdr:cNvPr>
            <xdr:cNvSpPr txBox="1"/>
          </xdr:nvSpPr>
          <xdr:spPr>
            <a:xfrm>
              <a:off x="6823166" y="4206240"/>
              <a:ext cx="4183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𝐵𝑎𝑧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18" name="Metin kutusu 17">
              <a:extLst>
                <a:ext uri="{FF2B5EF4-FFF2-40B4-BE49-F238E27FC236}">
                  <a16:creationId xmlns:a16="http://schemas.microsoft.com/office/drawing/2014/main" id="{F80C8955-11CF-48AE-928D-0277FA1ECFBB}"/>
                </a:ext>
              </a:extLst>
            </xdr:cNvPr>
            <xdr:cNvSpPr txBox="1"/>
          </xdr:nvSpPr>
          <xdr:spPr>
            <a:xfrm>
              <a:off x="6823166" y="4206240"/>
              <a:ext cx="4183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𝐼_𝐵𝑎𝑧=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18</xdr:col>
      <xdr:colOff>121920</xdr:colOff>
      <xdr:row>23</xdr:row>
      <xdr:rowOff>0</xdr:rowOff>
    </xdr:from>
    <xdr:ext cx="4183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Metin kutusu 18">
              <a:extLst>
                <a:ext uri="{FF2B5EF4-FFF2-40B4-BE49-F238E27FC236}">
                  <a16:creationId xmlns:a16="http://schemas.microsoft.com/office/drawing/2014/main" id="{8BB7056D-C0AD-43D9-BEAF-4A11A2FD3C2B}"/>
                </a:ext>
              </a:extLst>
            </xdr:cNvPr>
            <xdr:cNvSpPr txBox="1"/>
          </xdr:nvSpPr>
          <xdr:spPr>
            <a:xfrm>
              <a:off x="11094720" y="4206240"/>
              <a:ext cx="4183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𝐵𝑎𝑧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19" name="Metin kutusu 18">
              <a:extLst>
                <a:ext uri="{FF2B5EF4-FFF2-40B4-BE49-F238E27FC236}">
                  <a16:creationId xmlns:a16="http://schemas.microsoft.com/office/drawing/2014/main" id="{8BB7056D-C0AD-43D9-BEAF-4A11A2FD3C2B}"/>
                </a:ext>
              </a:extLst>
            </xdr:cNvPr>
            <xdr:cNvSpPr txBox="1"/>
          </xdr:nvSpPr>
          <xdr:spPr>
            <a:xfrm>
              <a:off x="11094720" y="4206240"/>
              <a:ext cx="4183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𝐼_𝐵𝑎𝑧=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5</xdr:col>
      <xdr:colOff>106649</xdr:colOff>
      <xdr:row>24</xdr:row>
      <xdr:rowOff>6198</xdr:rowOff>
    </xdr:from>
    <xdr:ext cx="4526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Metin kutusu 19">
              <a:extLst>
                <a:ext uri="{FF2B5EF4-FFF2-40B4-BE49-F238E27FC236}">
                  <a16:creationId xmlns:a16="http://schemas.microsoft.com/office/drawing/2014/main" id="{5D365213-67FD-43FB-BB1C-A6DF16F7C921}"/>
                </a:ext>
              </a:extLst>
            </xdr:cNvPr>
            <xdr:cNvSpPr txBox="1"/>
          </xdr:nvSpPr>
          <xdr:spPr>
            <a:xfrm>
              <a:off x="3154649" y="4395318"/>
              <a:ext cx="452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𝐵𝑎𝑧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20" name="Metin kutusu 19">
              <a:extLst>
                <a:ext uri="{FF2B5EF4-FFF2-40B4-BE49-F238E27FC236}">
                  <a16:creationId xmlns:a16="http://schemas.microsoft.com/office/drawing/2014/main" id="{5D365213-67FD-43FB-BB1C-A6DF16F7C921}"/>
                </a:ext>
              </a:extLst>
            </xdr:cNvPr>
            <xdr:cNvSpPr txBox="1"/>
          </xdr:nvSpPr>
          <xdr:spPr>
            <a:xfrm>
              <a:off x="3154649" y="4395318"/>
              <a:ext cx="452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𝑍_𝐵𝑎𝑧=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11</xdr:col>
      <xdr:colOff>106649</xdr:colOff>
      <xdr:row>24</xdr:row>
      <xdr:rowOff>10553</xdr:rowOff>
    </xdr:from>
    <xdr:ext cx="4526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Metin kutusu 20">
              <a:extLst>
                <a:ext uri="{FF2B5EF4-FFF2-40B4-BE49-F238E27FC236}">
                  <a16:creationId xmlns:a16="http://schemas.microsoft.com/office/drawing/2014/main" id="{53278964-D94F-45AF-993B-B4FF7B24750E}"/>
                </a:ext>
              </a:extLst>
            </xdr:cNvPr>
            <xdr:cNvSpPr txBox="1"/>
          </xdr:nvSpPr>
          <xdr:spPr>
            <a:xfrm>
              <a:off x="6812249" y="4399673"/>
              <a:ext cx="452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𝐵𝑎𝑧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21" name="Metin kutusu 20">
              <a:extLst>
                <a:ext uri="{FF2B5EF4-FFF2-40B4-BE49-F238E27FC236}">
                  <a16:creationId xmlns:a16="http://schemas.microsoft.com/office/drawing/2014/main" id="{53278964-D94F-45AF-993B-B4FF7B24750E}"/>
                </a:ext>
              </a:extLst>
            </xdr:cNvPr>
            <xdr:cNvSpPr txBox="1"/>
          </xdr:nvSpPr>
          <xdr:spPr>
            <a:xfrm>
              <a:off x="6812249" y="4399673"/>
              <a:ext cx="452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𝑍_𝐵𝑎𝑧=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18</xdr:col>
      <xdr:colOff>91436</xdr:colOff>
      <xdr:row>24</xdr:row>
      <xdr:rowOff>0</xdr:rowOff>
    </xdr:from>
    <xdr:ext cx="4526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Metin kutusu 21">
              <a:extLst>
                <a:ext uri="{FF2B5EF4-FFF2-40B4-BE49-F238E27FC236}">
                  <a16:creationId xmlns:a16="http://schemas.microsoft.com/office/drawing/2014/main" id="{BCBDFA37-614C-43E9-A2BE-8C6F9D5D87C5}"/>
                </a:ext>
              </a:extLst>
            </xdr:cNvPr>
            <xdr:cNvSpPr txBox="1"/>
          </xdr:nvSpPr>
          <xdr:spPr>
            <a:xfrm>
              <a:off x="11064236" y="4389120"/>
              <a:ext cx="452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𝐵𝑎𝑧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22" name="Metin kutusu 21">
              <a:extLst>
                <a:ext uri="{FF2B5EF4-FFF2-40B4-BE49-F238E27FC236}">
                  <a16:creationId xmlns:a16="http://schemas.microsoft.com/office/drawing/2014/main" id="{BCBDFA37-614C-43E9-A2BE-8C6F9D5D87C5}"/>
                </a:ext>
              </a:extLst>
            </xdr:cNvPr>
            <xdr:cNvSpPr txBox="1"/>
          </xdr:nvSpPr>
          <xdr:spPr>
            <a:xfrm>
              <a:off x="11064236" y="4389120"/>
              <a:ext cx="452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𝑍_𝐵𝑎𝑧=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3</xdr:col>
      <xdr:colOff>168088</xdr:colOff>
      <xdr:row>31</xdr:row>
      <xdr:rowOff>84044</xdr:rowOff>
    </xdr:from>
    <xdr:ext cx="2701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Metin kutusu 7">
              <a:extLst>
                <a:ext uri="{FF2B5EF4-FFF2-40B4-BE49-F238E27FC236}">
                  <a16:creationId xmlns:a16="http://schemas.microsoft.com/office/drawing/2014/main" id="{2CFC2B50-3BEE-44A4-804B-A51C547F6BEC}"/>
                </a:ext>
              </a:extLst>
            </xdr:cNvPr>
            <xdr:cNvSpPr txBox="1"/>
          </xdr:nvSpPr>
          <xdr:spPr>
            <a:xfrm>
              <a:off x="1994334" y="5758603"/>
              <a:ext cx="2701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𝐺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8" name="Metin kutusu 7">
              <a:extLst>
                <a:ext uri="{FF2B5EF4-FFF2-40B4-BE49-F238E27FC236}">
                  <a16:creationId xmlns:a16="http://schemas.microsoft.com/office/drawing/2014/main" id="{2CFC2B50-3BEE-44A4-804B-A51C547F6BEC}"/>
                </a:ext>
              </a:extLst>
            </xdr:cNvPr>
            <xdr:cNvSpPr txBox="1"/>
          </xdr:nvSpPr>
          <xdr:spPr>
            <a:xfrm>
              <a:off x="1994334" y="5758603"/>
              <a:ext cx="2701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latin typeface="Cambria Math" panose="02040503050406030204" pitchFamily="18" charset="0"/>
                </a:rPr>
                <a:t>𝑋_(𝐺 )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𝑗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11</xdr:col>
      <xdr:colOff>126066</xdr:colOff>
      <xdr:row>31</xdr:row>
      <xdr:rowOff>63034</xdr:rowOff>
    </xdr:from>
    <xdr:ext cx="3155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Metin kutusu 22">
              <a:extLst>
                <a:ext uri="{FF2B5EF4-FFF2-40B4-BE49-F238E27FC236}">
                  <a16:creationId xmlns:a16="http://schemas.microsoft.com/office/drawing/2014/main" id="{7A70300D-E213-475D-B6C6-AAFB2C482D72}"/>
                </a:ext>
              </a:extLst>
            </xdr:cNvPr>
            <xdr:cNvSpPr txBox="1"/>
          </xdr:nvSpPr>
          <xdr:spPr>
            <a:xfrm>
              <a:off x="6828584" y="5925111"/>
              <a:ext cx="3155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tr-TR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tr-T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tr-T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𝑡𝑟</m:t>
                      </m:r>
                      <m:r>
                        <a:rPr lang="tr-T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r>
                <a:rPr lang="tr-TR">
                  <a:effectLst/>
                </a:rPr>
                <a:t> j</a:t>
              </a:r>
            </a:p>
          </xdr:txBody>
        </xdr:sp>
      </mc:Choice>
      <mc:Fallback xmlns="">
        <xdr:sp macro="" textlink="">
          <xdr:nvSpPr>
            <xdr:cNvPr id="23" name="Metin kutusu 22">
              <a:extLst>
                <a:ext uri="{FF2B5EF4-FFF2-40B4-BE49-F238E27FC236}">
                  <a16:creationId xmlns:a16="http://schemas.microsoft.com/office/drawing/2014/main" id="{7A70300D-E213-475D-B6C6-AAFB2C482D72}"/>
                </a:ext>
              </a:extLst>
            </xdr:cNvPr>
            <xdr:cNvSpPr txBox="1"/>
          </xdr:nvSpPr>
          <xdr:spPr>
            <a:xfrm>
              <a:off x="6828584" y="5925111"/>
              <a:ext cx="3155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𝑋_𝑡𝑟1</a:t>
              </a:r>
              <a:r>
                <a:rPr lang="tr-TR">
                  <a:effectLst/>
                </a:rPr>
                <a:t> j</a:t>
              </a:r>
            </a:p>
          </xdr:txBody>
        </xdr:sp>
      </mc:Fallback>
    </mc:AlternateContent>
    <xdr:clientData/>
  </xdr:oneCellAnchor>
  <xdr:oneCellAnchor>
    <xdr:from>
      <xdr:col>15</xdr:col>
      <xdr:colOff>84044</xdr:colOff>
      <xdr:row>30</xdr:row>
      <xdr:rowOff>168088</xdr:rowOff>
    </xdr:from>
    <xdr:ext cx="3804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Metin kutusu 23">
              <a:extLst>
                <a:ext uri="{FF2B5EF4-FFF2-40B4-BE49-F238E27FC236}">
                  <a16:creationId xmlns:a16="http://schemas.microsoft.com/office/drawing/2014/main" id="{CD72205F-BAC6-44D5-A7E4-5F100737BA88}"/>
                </a:ext>
              </a:extLst>
            </xdr:cNvPr>
            <xdr:cNvSpPr txBox="1"/>
          </xdr:nvSpPr>
          <xdr:spPr>
            <a:xfrm>
              <a:off x="9215273" y="5659596"/>
              <a:ext cx="3804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𝑡𝑟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2  </m:t>
                        </m:r>
                      </m:sub>
                    </m:sSub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</m:t>
                    </m:r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24" name="Metin kutusu 23">
              <a:extLst>
                <a:ext uri="{FF2B5EF4-FFF2-40B4-BE49-F238E27FC236}">
                  <a16:creationId xmlns:a16="http://schemas.microsoft.com/office/drawing/2014/main" id="{CD72205F-BAC6-44D5-A7E4-5F100737BA88}"/>
                </a:ext>
              </a:extLst>
            </xdr:cNvPr>
            <xdr:cNvSpPr txBox="1"/>
          </xdr:nvSpPr>
          <xdr:spPr>
            <a:xfrm>
              <a:off x="9215273" y="5659596"/>
              <a:ext cx="3804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𝑋_(𝑡𝑟2  )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𝑗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7</xdr:col>
      <xdr:colOff>105055</xdr:colOff>
      <xdr:row>29</xdr:row>
      <xdr:rowOff>105055</xdr:rowOff>
    </xdr:from>
    <xdr:ext cx="3325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Metin kutusu 24">
              <a:extLst>
                <a:ext uri="{FF2B5EF4-FFF2-40B4-BE49-F238E27FC236}">
                  <a16:creationId xmlns:a16="http://schemas.microsoft.com/office/drawing/2014/main" id="{48DE67D9-C05A-4C52-BE5E-7E5D74138B26}"/>
                </a:ext>
              </a:extLst>
            </xdr:cNvPr>
            <xdr:cNvSpPr txBox="1"/>
          </xdr:nvSpPr>
          <xdr:spPr>
            <a:xfrm>
              <a:off x="4370294" y="5588934"/>
              <a:ext cx="3325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tr-TR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tr-T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tr-T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h𝑎𝑡</m:t>
                      </m:r>
                    </m:sub>
                  </m:sSub>
                </m:oMath>
              </a14:m>
              <a:r>
                <a:rPr lang="tr-TR">
                  <a:effectLst/>
                </a:rPr>
                <a:t> j</a:t>
              </a:r>
            </a:p>
          </xdr:txBody>
        </xdr:sp>
      </mc:Choice>
      <mc:Fallback xmlns="">
        <xdr:sp macro="" textlink="">
          <xdr:nvSpPr>
            <xdr:cNvPr id="25" name="Metin kutusu 24">
              <a:extLst>
                <a:ext uri="{FF2B5EF4-FFF2-40B4-BE49-F238E27FC236}">
                  <a16:creationId xmlns:a16="http://schemas.microsoft.com/office/drawing/2014/main" id="{48DE67D9-C05A-4C52-BE5E-7E5D74138B26}"/>
                </a:ext>
              </a:extLst>
            </xdr:cNvPr>
            <xdr:cNvSpPr txBox="1"/>
          </xdr:nvSpPr>
          <xdr:spPr>
            <a:xfrm>
              <a:off x="4370294" y="5588934"/>
              <a:ext cx="3325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𝑋_ℎ𝑎𝑡</a:t>
              </a:r>
              <a:r>
                <a:rPr lang="tr-TR">
                  <a:effectLst/>
                </a:rPr>
                <a:t> j</a:t>
              </a:r>
            </a:p>
          </xdr:txBody>
        </xdr:sp>
      </mc:Fallback>
    </mc:AlternateContent>
    <xdr:clientData/>
  </xdr:oneCellAnchor>
  <xdr:oneCellAnchor>
    <xdr:from>
      <xdr:col>7</xdr:col>
      <xdr:colOff>91048</xdr:colOff>
      <xdr:row>31</xdr:row>
      <xdr:rowOff>105055</xdr:rowOff>
    </xdr:from>
    <xdr:ext cx="4526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Metin kutusu 25">
              <a:extLst>
                <a:ext uri="{FF2B5EF4-FFF2-40B4-BE49-F238E27FC236}">
                  <a16:creationId xmlns:a16="http://schemas.microsoft.com/office/drawing/2014/main" id="{D9A21C80-3811-4D79-B80D-24A21EA378D1}"/>
                </a:ext>
              </a:extLst>
            </xdr:cNvPr>
            <xdr:cNvSpPr txBox="1"/>
          </xdr:nvSpPr>
          <xdr:spPr>
            <a:xfrm>
              <a:off x="4356287" y="5967132"/>
              <a:ext cx="452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𝐵𝑎𝑧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26" name="Metin kutusu 25">
              <a:extLst>
                <a:ext uri="{FF2B5EF4-FFF2-40B4-BE49-F238E27FC236}">
                  <a16:creationId xmlns:a16="http://schemas.microsoft.com/office/drawing/2014/main" id="{D9A21C80-3811-4D79-B80D-24A21EA378D1}"/>
                </a:ext>
              </a:extLst>
            </xdr:cNvPr>
            <xdr:cNvSpPr txBox="1"/>
          </xdr:nvSpPr>
          <xdr:spPr>
            <a:xfrm>
              <a:off x="4356287" y="5967132"/>
              <a:ext cx="4526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latin typeface="Cambria Math" panose="02040503050406030204" pitchFamily="18" charset="0"/>
                </a:rPr>
                <a:t>𝑍_𝐵𝑎𝑧=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7</xdr:col>
      <xdr:colOff>56030</xdr:colOff>
      <xdr:row>33</xdr:row>
      <xdr:rowOff>84045</xdr:rowOff>
    </xdr:from>
    <xdr:ext cx="65" cy="172227"/>
    <xdr:sp macro="" textlink="">
      <xdr:nvSpPr>
        <xdr:cNvPr id="27" name="Metin kutusu 26">
          <a:extLst>
            <a:ext uri="{FF2B5EF4-FFF2-40B4-BE49-F238E27FC236}">
              <a16:creationId xmlns:a16="http://schemas.microsoft.com/office/drawing/2014/main" id="{B1F20711-A8F7-4D97-BF43-BAD560329037}"/>
            </a:ext>
          </a:extLst>
        </xdr:cNvPr>
        <xdr:cNvSpPr txBox="1"/>
      </xdr:nvSpPr>
      <xdr:spPr>
        <a:xfrm>
          <a:off x="4321269" y="63243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>
            <a:effectLst/>
          </a:endParaRPr>
        </a:p>
      </xdr:txBody>
    </xdr:sp>
    <xdr:clientData/>
  </xdr:oneCellAnchor>
  <xdr:oneCellAnchor>
    <xdr:from>
      <xdr:col>7</xdr:col>
      <xdr:colOff>1</xdr:colOff>
      <xdr:row>33</xdr:row>
      <xdr:rowOff>84045</xdr:rowOff>
    </xdr:from>
    <xdr:ext cx="583045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Metin kutusu 27">
              <a:extLst>
                <a:ext uri="{FF2B5EF4-FFF2-40B4-BE49-F238E27FC236}">
                  <a16:creationId xmlns:a16="http://schemas.microsoft.com/office/drawing/2014/main" id="{938E851F-0EA1-48A3-9EF0-83E82ED14DFA}"/>
                </a:ext>
              </a:extLst>
            </xdr:cNvPr>
            <xdr:cNvSpPr txBox="1"/>
          </xdr:nvSpPr>
          <xdr:spPr>
            <a:xfrm>
              <a:off x="4261241" y="6124704"/>
              <a:ext cx="58304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h𝑎𝑡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𝑝𝑢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</m:t>
                    </m:r>
                  </m:oMath>
                </m:oMathPara>
              </a14:m>
              <a:endParaRPr lang="tr-TR">
                <a:effectLst/>
              </a:endParaRPr>
            </a:p>
          </xdr:txBody>
        </xdr:sp>
      </mc:Choice>
      <mc:Fallback xmlns="">
        <xdr:sp macro="" textlink="">
          <xdr:nvSpPr>
            <xdr:cNvPr id="28" name="Metin kutusu 27">
              <a:extLst>
                <a:ext uri="{FF2B5EF4-FFF2-40B4-BE49-F238E27FC236}">
                  <a16:creationId xmlns:a16="http://schemas.microsoft.com/office/drawing/2014/main" id="{938E851F-0EA1-48A3-9EF0-83E82ED14DFA}"/>
                </a:ext>
              </a:extLst>
            </xdr:cNvPr>
            <xdr:cNvSpPr txBox="1"/>
          </xdr:nvSpPr>
          <xdr:spPr>
            <a:xfrm>
              <a:off x="4261241" y="6124704"/>
              <a:ext cx="58304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𝑋_(ℎ𝑎𝑡−𝑝𝑢 )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𝑗</a:t>
              </a:r>
              <a:endParaRPr lang="tr-TR">
                <a:effectLst/>
              </a:endParaRPr>
            </a:p>
          </xdr:txBody>
        </xdr:sp>
      </mc:Fallback>
    </mc:AlternateContent>
    <xdr:clientData/>
  </xdr:oneCellAnchor>
  <xdr:oneCellAnchor>
    <xdr:from>
      <xdr:col>19</xdr:col>
      <xdr:colOff>147078</xdr:colOff>
      <xdr:row>30</xdr:row>
      <xdr:rowOff>63034</xdr:rowOff>
    </xdr:from>
    <xdr:ext cx="65" cy="172227"/>
    <xdr:sp macro="" textlink="">
      <xdr:nvSpPr>
        <xdr:cNvPr id="29" name="Metin kutusu 28">
          <a:extLst>
            <a:ext uri="{FF2B5EF4-FFF2-40B4-BE49-F238E27FC236}">
              <a16:creationId xmlns:a16="http://schemas.microsoft.com/office/drawing/2014/main" id="{F326A2F4-380F-402B-BA8A-002E266D661A}"/>
            </a:ext>
          </a:extLst>
        </xdr:cNvPr>
        <xdr:cNvSpPr txBox="1"/>
      </xdr:nvSpPr>
      <xdr:spPr>
        <a:xfrm>
          <a:off x="11724155" y="57360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19</xdr:col>
      <xdr:colOff>147078</xdr:colOff>
      <xdr:row>30</xdr:row>
      <xdr:rowOff>63034</xdr:rowOff>
    </xdr:from>
    <xdr:ext cx="449162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Metin kutusu 29">
              <a:extLst>
                <a:ext uri="{FF2B5EF4-FFF2-40B4-BE49-F238E27FC236}">
                  <a16:creationId xmlns:a16="http://schemas.microsoft.com/office/drawing/2014/main" id="{D37CAE16-1CBC-4DE1-960A-62F73039B3A3}"/>
                </a:ext>
              </a:extLst>
            </xdr:cNvPr>
            <xdr:cNvSpPr txBox="1"/>
          </xdr:nvSpPr>
          <xdr:spPr>
            <a:xfrm>
              <a:off x="11724155" y="5736012"/>
              <a:ext cx="449162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ü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30" name="Metin kutusu 29">
              <a:extLst>
                <a:ext uri="{FF2B5EF4-FFF2-40B4-BE49-F238E27FC236}">
                  <a16:creationId xmlns:a16="http://schemas.microsoft.com/office/drawing/2014/main" id="{D37CAE16-1CBC-4DE1-960A-62F73039B3A3}"/>
                </a:ext>
              </a:extLst>
            </xdr:cNvPr>
            <xdr:cNvSpPr txBox="1"/>
          </xdr:nvSpPr>
          <xdr:spPr>
            <a:xfrm>
              <a:off x="11724155" y="5736012"/>
              <a:ext cx="449162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latin typeface="Cambria Math" panose="02040503050406030204" pitchFamily="18" charset="0"/>
                </a:rPr>
                <a:t>𝑍_𝑦ü𝑘=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19</xdr:col>
      <xdr:colOff>147078</xdr:colOff>
      <xdr:row>33</xdr:row>
      <xdr:rowOff>63034</xdr:rowOff>
    </xdr:from>
    <xdr:ext cx="65" cy="172227"/>
    <xdr:sp macro="" textlink="">
      <xdr:nvSpPr>
        <xdr:cNvPr id="32" name="Metin kutusu 31">
          <a:extLst>
            <a:ext uri="{FF2B5EF4-FFF2-40B4-BE49-F238E27FC236}">
              <a16:creationId xmlns:a16="http://schemas.microsoft.com/office/drawing/2014/main" id="{AD852F36-67BE-49CB-B98B-7C90E126A771}"/>
            </a:ext>
          </a:extLst>
        </xdr:cNvPr>
        <xdr:cNvSpPr txBox="1"/>
      </xdr:nvSpPr>
      <xdr:spPr>
        <a:xfrm>
          <a:off x="11724155" y="57360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19</xdr:col>
      <xdr:colOff>1</xdr:colOff>
      <xdr:row>32</xdr:row>
      <xdr:rowOff>161086</xdr:rowOff>
    </xdr:from>
    <xdr:ext cx="657488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Metin kutusu 32">
              <a:extLst>
                <a:ext uri="{FF2B5EF4-FFF2-40B4-BE49-F238E27FC236}">
                  <a16:creationId xmlns:a16="http://schemas.microsoft.com/office/drawing/2014/main" id="{80041E40-7A74-46B8-B9BD-2FD2C45F2DFE}"/>
                </a:ext>
              </a:extLst>
            </xdr:cNvPr>
            <xdr:cNvSpPr txBox="1"/>
          </xdr:nvSpPr>
          <xdr:spPr>
            <a:xfrm>
              <a:off x="11577078" y="6212262"/>
              <a:ext cx="657488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ü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𝑝𝑢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33" name="Metin kutusu 32">
              <a:extLst>
                <a:ext uri="{FF2B5EF4-FFF2-40B4-BE49-F238E27FC236}">
                  <a16:creationId xmlns:a16="http://schemas.microsoft.com/office/drawing/2014/main" id="{80041E40-7A74-46B8-B9BD-2FD2C45F2DFE}"/>
                </a:ext>
              </a:extLst>
            </xdr:cNvPr>
            <xdr:cNvSpPr txBox="1"/>
          </xdr:nvSpPr>
          <xdr:spPr>
            <a:xfrm>
              <a:off x="11577078" y="6212262"/>
              <a:ext cx="657488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>
                  <a:latin typeface="Cambria Math" panose="02040503050406030204" pitchFamily="18" charset="0"/>
                </a:rPr>
                <a:t>𝑍_(𝑦ü𝑘−𝑝𝑢)=</a:t>
              </a:r>
              <a:endParaRPr lang="tr-T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="85" zoomScaleNormal="85" workbookViewId="0">
      <selection activeCell="A2" sqref="A2"/>
    </sheetView>
  </sheetViews>
  <sheetFormatPr defaultRowHeight="14.4" x14ac:dyDescent="0.3"/>
  <cols>
    <col min="1" max="1" width="12" bestFit="1" customWidth="1"/>
  </cols>
  <sheetData>
    <row r="1" spans="1:17" x14ac:dyDescent="0.3">
      <c r="A1" t="s">
        <v>27</v>
      </c>
    </row>
    <row r="2" spans="1:17" x14ac:dyDescent="0.3">
      <c r="A2" t="s">
        <v>26</v>
      </c>
    </row>
    <row r="16" spans="1:17" x14ac:dyDescent="0.3">
      <c r="D16">
        <v>140</v>
      </c>
      <c r="E16" t="s">
        <v>7</v>
      </c>
      <c r="G16">
        <v>180</v>
      </c>
      <c r="H16" t="s">
        <v>7</v>
      </c>
      <c r="J16">
        <v>80</v>
      </c>
      <c r="K16" t="s">
        <v>9</v>
      </c>
      <c r="M16">
        <v>140</v>
      </c>
      <c r="N16" t="s">
        <v>7</v>
      </c>
      <c r="P16">
        <v>70</v>
      </c>
      <c r="Q16" t="s">
        <v>7</v>
      </c>
    </row>
    <row r="17" spans="3:24" x14ac:dyDescent="0.3">
      <c r="D17">
        <v>15</v>
      </c>
      <c r="E17" t="s">
        <v>24</v>
      </c>
      <c r="F17">
        <v>15</v>
      </c>
      <c r="G17">
        <v>154</v>
      </c>
      <c r="H17" t="s">
        <v>8</v>
      </c>
      <c r="L17">
        <v>154</v>
      </c>
      <c r="M17">
        <v>35</v>
      </c>
      <c r="N17" t="s">
        <v>8</v>
      </c>
      <c r="P17">
        <v>0.8</v>
      </c>
      <c r="Q17" t="s">
        <v>25</v>
      </c>
    </row>
    <row r="18" spans="3:24" x14ac:dyDescent="0.3">
      <c r="D18" s="2">
        <v>0.25</v>
      </c>
      <c r="E18" t="s">
        <v>23</v>
      </c>
      <c r="G18">
        <v>0.15</v>
      </c>
      <c r="H18" t="s">
        <v>23</v>
      </c>
      <c r="M18">
        <v>0.15</v>
      </c>
      <c r="N18" t="s">
        <v>23</v>
      </c>
      <c r="P18">
        <v>0.6</v>
      </c>
    </row>
    <row r="20" spans="3:24" x14ac:dyDescent="0.3">
      <c r="C20" t="s">
        <v>15</v>
      </c>
      <c r="D20">
        <v>1000000</v>
      </c>
      <c r="E20" t="s">
        <v>16</v>
      </c>
      <c r="F20">
        <v>1000</v>
      </c>
    </row>
    <row r="21" spans="3:24" x14ac:dyDescent="0.3">
      <c r="C21" s="16"/>
      <c r="D21" s="17"/>
      <c r="E21" s="18"/>
      <c r="F21" s="16" t="s">
        <v>4</v>
      </c>
      <c r="G21" s="17"/>
      <c r="H21" s="17"/>
      <c r="I21" s="17"/>
      <c r="J21" s="17"/>
      <c r="K21" s="18"/>
      <c r="L21" s="16" t="s">
        <v>5</v>
      </c>
      <c r="M21" s="17"/>
      <c r="N21" s="17"/>
      <c r="O21" s="17"/>
      <c r="P21" s="17"/>
      <c r="Q21" s="17"/>
      <c r="R21" s="18"/>
      <c r="S21" s="16" t="s">
        <v>6</v>
      </c>
      <c r="T21" s="17"/>
      <c r="U21" s="17"/>
      <c r="V21" s="17"/>
      <c r="W21" s="17"/>
      <c r="X21" s="18"/>
    </row>
    <row r="22" spans="3:24" x14ac:dyDescent="0.3">
      <c r="C22" s="16" t="s">
        <v>0</v>
      </c>
      <c r="D22" s="17"/>
      <c r="E22" s="18"/>
      <c r="F22" s="16">
        <f>L22</f>
        <v>100</v>
      </c>
      <c r="G22" s="17"/>
      <c r="H22" s="17"/>
      <c r="I22" s="18"/>
      <c r="J22" s="16" t="s">
        <v>7</v>
      </c>
      <c r="K22" s="18"/>
      <c r="L22" s="16">
        <v>100</v>
      </c>
      <c r="M22" s="17"/>
      <c r="N22" s="17"/>
      <c r="O22" s="17"/>
      <c r="P22" s="18"/>
      <c r="Q22" s="16" t="s">
        <v>7</v>
      </c>
      <c r="R22" s="18"/>
      <c r="S22" s="16">
        <f>L22</f>
        <v>100</v>
      </c>
      <c r="T22" s="17"/>
      <c r="U22" s="17"/>
      <c r="V22" s="18"/>
      <c r="W22" s="16" t="s">
        <v>7</v>
      </c>
      <c r="X22" s="18"/>
    </row>
    <row r="23" spans="3:24" x14ac:dyDescent="0.3">
      <c r="C23" s="16" t="s">
        <v>1</v>
      </c>
      <c r="D23" s="17"/>
      <c r="E23" s="18"/>
      <c r="F23" s="16">
        <f>(F17/G17)*L23</f>
        <v>15</v>
      </c>
      <c r="G23" s="17"/>
      <c r="H23" s="17"/>
      <c r="I23" s="18"/>
      <c r="J23" s="16" t="s">
        <v>8</v>
      </c>
      <c r="K23" s="18"/>
      <c r="L23" s="16">
        <v>154</v>
      </c>
      <c r="M23" s="17"/>
      <c r="N23" s="17"/>
      <c r="O23" s="17"/>
      <c r="P23" s="18"/>
      <c r="Q23" s="16" t="s">
        <v>8</v>
      </c>
      <c r="R23" s="18"/>
      <c r="S23" s="16">
        <f>(M17/L17)*L23</f>
        <v>35</v>
      </c>
      <c r="T23" s="17"/>
      <c r="U23" s="17"/>
      <c r="V23" s="18"/>
      <c r="W23" s="16" t="s">
        <v>8</v>
      </c>
      <c r="X23" s="18"/>
    </row>
    <row r="24" spans="3:24" x14ac:dyDescent="0.3">
      <c r="C24" s="16" t="s">
        <v>3</v>
      </c>
      <c r="D24" s="17"/>
      <c r="E24" s="18"/>
      <c r="F24" s="1"/>
      <c r="G24" s="16">
        <f>(F22*1000000)/(((SQRT(3))*F23)*1000)</f>
        <v>3849.0017945975055</v>
      </c>
      <c r="H24" s="17"/>
      <c r="I24" s="18"/>
      <c r="J24" s="16" t="s">
        <v>10</v>
      </c>
      <c r="K24" s="18"/>
      <c r="L24" s="1"/>
      <c r="M24" s="16">
        <f>(L22*D20)/((SQRT(3))*L23*F20)</f>
        <v>374.90277220105577</v>
      </c>
      <c r="N24" s="17"/>
      <c r="O24" s="17"/>
      <c r="P24" s="18"/>
      <c r="Q24" s="16" t="s">
        <v>10</v>
      </c>
      <c r="R24" s="18"/>
      <c r="S24" s="1"/>
      <c r="T24" s="16">
        <f>(S22*D20)/((SQRT(3))*S23*F20)</f>
        <v>1649.5721976846451</v>
      </c>
      <c r="U24" s="17"/>
      <c r="V24" s="18"/>
      <c r="W24" s="16" t="s">
        <v>10</v>
      </c>
      <c r="X24" s="18"/>
    </row>
    <row r="25" spans="3:24" x14ac:dyDescent="0.3">
      <c r="C25" s="16" t="s">
        <v>2</v>
      </c>
      <c r="D25" s="17"/>
      <c r="E25" s="18"/>
      <c r="F25" s="1"/>
      <c r="G25" s="16">
        <f>((F23)^2)/F22</f>
        <v>2.25</v>
      </c>
      <c r="H25" s="17"/>
      <c r="I25" s="18"/>
      <c r="J25" s="16" t="s">
        <v>9</v>
      </c>
      <c r="K25" s="18"/>
      <c r="L25" s="1"/>
      <c r="M25" s="16">
        <f>(L23^2)/L22</f>
        <v>237.16</v>
      </c>
      <c r="N25" s="17"/>
      <c r="O25" s="17"/>
      <c r="P25" s="18"/>
      <c r="Q25" s="16" t="s">
        <v>9</v>
      </c>
      <c r="R25" s="18"/>
      <c r="S25" s="1"/>
      <c r="T25" s="16">
        <f>(S23^2)/S22</f>
        <v>12.25</v>
      </c>
      <c r="U25" s="17"/>
      <c r="V25" s="18"/>
      <c r="W25" s="16" t="s">
        <v>9</v>
      </c>
      <c r="X25" s="18"/>
    </row>
    <row r="29" spans="3:24" x14ac:dyDescent="0.3">
      <c r="D29" s="16" t="s">
        <v>11</v>
      </c>
      <c r="E29" s="17"/>
      <c r="F29" s="17"/>
      <c r="G29" s="18"/>
      <c r="H29" s="16" t="s">
        <v>12</v>
      </c>
      <c r="I29" s="17"/>
      <c r="J29" s="17"/>
      <c r="K29" s="18"/>
      <c r="L29" s="16" t="s">
        <v>13</v>
      </c>
      <c r="M29" s="17"/>
      <c r="N29" s="17"/>
      <c r="O29" s="18"/>
      <c r="P29" s="16" t="s">
        <v>14</v>
      </c>
      <c r="Q29" s="17"/>
      <c r="R29" s="17"/>
      <c r="S29" s="18"/>
      <c r="T29" s="16" t="s">
        <v>6</v>
      </c>
      <c r="U29" s="17"/>
      <c r="V29" s="17"/>
      <c r="W29" s="18"/>
    </row>
    <row r="30" spans="3:24" x14ac:dyDescent="0.3">
      <c r="D30" s="7"/>
      <c r="E30" s="10">
        <f>D18*(((D17/F23)*(D17/F23))*(F22/D16))</f>
        <v>0.17857142857142858</v>
      </c>
      <c r="F30" s="11"/>
      <c r="G30" s="7" t="s">
        <v>23</v>
      </c>
      <c r="H30" s="7"/>
      <c r="I30" s="10">
        <f>J16</f>
        <v>80</v>
      </c>
      <c r="J30" s="11"/>
      <c r="K30" s="7" t="s">
        <v>9</v>
      </c>
      <c r="L30" s="7"/>
      <c r="M30" s="10">
        <f>G18*((G17/L23)^2)*(L22/G16)</f>
        <v>8.3333333333333329E-2</v>
      </c>
      <c r="N30" s="11"/>
      <c r="O30" s="7" t="s">
        <v>23</v>
      </c>
      <c r="P30" s="3"/>
      <c r="Q30" s="10">
        <f>M18*((M17/S23)^2)*(S22/M16)</f>
        <v>0.10714285714285714</v>
      </c>
      <c r="R30" s="11"/>
      <c r="S30" s="7" t="s">
        <v>23</v>
      </c>
      <c r="T30" s="3"/>
      <c r="U30" s="6">
        <f>(S23^2)/P16</f>
        <v>17.5</v>
      </c>
      <c r="V30" s="6"/>
      <c r="W30" s="6" t="s">
        <v>9</v>
      </c>
    </row>
    <row r="31" spans="3:24" x14ac:dyDescent="0.3">
      <c r="D31" s="8"/>
      <c r="E31" s="14"/>
      <c r="F31" s="15"/>
      <c r="G31" s="8"/>
      <c r="H31" s="9"/>
      <c r="I31" s="12"/>
      <c r="J31" s="13"/>
      <c r="K31" s="9"/>
      <c r="L31" s="8"/>
      <c r="M31" s="14"/>
      <c r="N31" s="15"/>
      <c r="O31" s="8"/>
      <c r="P31" s="4"/>
      <c r="Q31" s="14"/>
      <c r="R31" s="15"/>
      <c r="S31" s="8"/>
      <c r="T31" s="4"/>
      <c r="U31" s="6"/>
      <c r="V31" s="6"/>
      <c r="W31" s="6"/>
    </row>
    <row r="32" spans="3:24" x14ac:dyDescent="0.3">
      <c r="D32" s="8"/>
      <c r="E32" s="14"/>
      <c r="F32" s="15"/>
      <c r="G32" s="8"/>
      <c r="H32" s="7"/>
      <c r="I32" s="10">
        <f>M25</f>
        <v>237.16</v>
      </c>
      <c r="J32" s="11"/>
      <c r="K32" s="7" t="s">
        <v>9</v>
      </c>
      <c r="L32" s="8"/>
      <c r="M32" s="14"/>
      <c r="N32" s="15"/>
      <c r="O32" s="8"/>
      <c r="P32" s="4"/>
      <c r="Q32" s="14"/>
      <c r="R32" s="15"/>
      <c r="S32" s="8"/>
      <c r="T32" s="5"/>
      <c r="U32" s="6"/>
      <c r="V32" s="6"/>
      <c r="W32" s="6"/>
    </row>
    <row r="33" spans="4:23" x14ac:dyDescent="0.3">
      <c r="D33" s="8"/>
      <c r="E33" s="14"/>
      <c r="F33" s="15"/>
      <c r="G33" s="8"/>
      <c r="H33" s="9"/>
      <c r="I33" s="12"/>
      <c r="J33" s="13"/>
      <c r="K33" s="9"/>
      <c r="L33" s="8"/>
      <c r="M33" s="14"/>
      <c r="N33" s="15"/>
      <c r="O33" s="8"/>
      <c r="P33" s="4"/>
      <c r="Q33" s="14"/>
      <c r="R33" s="15"/>
      <c r="S33" s="8"/>
      <c r="T33" s="3"/>
      <c r="U33" s="6">
        <f>U30/T25</f>
        <v>1.4285714285714286</v>
      </c>
      <c r="V33" s="6"/>
      <c r="W33" s="6" t="s">
        <v>23</v>
      </c>
    </row>
    <row r="34" spans="4:23" x14ac:dyDescent="0.3">
      <c r="D34" s="8"/>
      <c r="E34" s="14"/>
      <c r="F34" s="15"/>
      <c r="G34" s="8"/>
      <c r="H34" s="7"/>
      <c r="I34" s="10">
        <f>I30/I32</f>
        <v>0.33732501264968801</v>
      </c>
      <c r="J34" s="11"/>
      <c r="K34" s="7" t="s">
        <v>23</v>
      </c>
      <c r="L34" s="8"/>
      <c r="M34" s="14"/>
      <c r="N34" s="15"/>
      <c r="O34" s="8"/>
      <c r="P34" s="4"/>
      <c r="Q34" s="14"/>
      <c r="R34" s="15"/>
      <c r="S34" s="8"/>
      <c r="T34" s="4"/>
      <c r="U34" s="6"/>
      <c r="V34" s="6"/>
      <c r="W34" s="6"/>
    </row>
    <row r="35" spans="4:23" x14ac:dyDescent="0.3">
      <c r="D35" s="9"/>
      <c r="E35" s="12"/>
      <c r="F35" s="13"/>
      <c r="G35" s="9"/>
      <c r="H35" s="9"/>
      <c r="I35" s="12"/>
      <c r="J35" s="13"/>
      <c r="K35" s="9"/>
      <c r="L35" s="9"/>
      <c r="M35" s="12"/>
      <c r="N35" s="13"/>
      <c r="O35" s="9"/>
      <c r="P35" s="5"/>
      <c r="Q35" s="12"/>
      <c r="R35" s="13"/>
      <c r="S35" s="9"/>
      <c r="T35" s="5"/>
      <c r="U35" s="6"/>
      <c r="V35" s="6"/>
      <c r="W35" s="6"/>
    </row>
    <row r="36" spans="4:23" x14ac:dyDescent="0.3">
      <c r="V36" t="s">
        <v>17</v>
      </c>
      <c r="W36">
        <f>U33*P17</f>
        <v>1.142857142857143</v>
      </c>
    </row>
    <row r="37" spans="4:23" x14ac:dyDescent="0.3">
      <c r="V37" t="s">
        <v>18</v>
      </c>
      <c r="W37">
        <f>U33*P18</f>
        <v>0.8571428571428571</v>
      </c>
    </row>
    <row r="39" spans="4:23" x14ac:dyDescent="0.3">
      <c r="V39" t="s">
        <v>19</v>
      </c>
      <c r="W39">
        <f>(P16/((SQRT(3))*S23))*F20</f>
        <v>1154.7005383792516</v>
      </c>
    </row>
    <row r="40" spans="4:23" x14ac:dyDescent="0.3">
      <c r="V40" t="s">
        <v>20</v>
      </c>
      <c r="W40">
        <f>W39/T24</f>
        <v>0.70000000000000007</v>
      </c>
    </row>
    <row r="41" spans="4:23" x14ac:dyDescent="0.3">
      <c r="V41" t="s">
        <v>21</v>
      </c>
      <c r="W41">
        <f>W40*P17</f>
        <v>0.56000000000000005</v>
      </c>
    </row>
    <row r="42" spans="4:23" x14ac:dyDescent="0.3">
      <c r="V42" t="s">
        <v>22</v>
      </c>
      <c r="W42">
        <f>-W40*P18</f>
        <v>-0.42000000000000004</v>
      </c>
    </row>
  </sheetData>
  <mergeCells count="61">
    <mergeCell ref="C21:E21"/>
    <mergeCell ref="F21:K21"/>
    <mergeCell ref="L21:R21"/>
    <mergeCell ref="S21:X21"/>
    <mergeCell ref="C22:E22"/>
    <mergeCell ref="J22:K22"/>
    <mergeCell ref="L22:P22"/>
    <mergeCell ref="S22:V22"/>
    <mergeCell ref="W22:X22"/>
    <mergeCell ref="C24:E24"/>
    <mergeCell ref="C25:E25"/>
    <mergeCell ref="F22:I22"/>
    <mergeCell ref="F23:I23"/>
    <mergeCell ref="G24:I24"/>
    <mergeCell ref="G25:I25"/>
    <mergeCell ref="C23:E23"/>
    <mergeCell ref="S23:V23"/>
    <mergeCell ref="W23:X23"/>
    <mergeCell ref="M24:P24"/>
    <mergeCell ref="M25:P25"/>
    <mergeCell ref="T24:V24"/>
    <mergeCell ref="W24:X24"/>
    <mergeCell ref="T25:V25"/>
    <mergeCell ref="W25:X25"/>
    <mergeCell ref="J24:K24"/>
    <mergeCell ref="J25:K25"/>
    <mergeCell ref="Q22:R22"/>
    <mergeCell ref="J23:K23"/>
    <mergeCell ref="L23:P23"/>
    <mergeCell ref="Q24:R24"/>
    <mergeCell ref="Q25:R25"/>
    <mergeCell ref="Q23:R23"/>
    <mergeCell ref="D30:D35"/>
    <mergeCell ref="E30:F35"/>
    <mergeCell ref="G30:G35"/>
    <mergeCell ref="H30:H31"/>
    <mergeCell ref="H32:H33"/>
    <mergeCell ref="D29:G29"/>
    <mergeCell ref="H29:K29"/>
    <mergeCell ref="L29:O29"/>
    <mergeCell ref="P29:S29"/>
    <mergeCell ref="T29:W29"/>
    <mergeCell ref="S30:S35"/>
    <mergeCell ref="H34:H35"/>
    <mergeCell ref="I30:J31"/>
    <mergeCell ref="I32:J33"/>
    <mergeCell ref="I34:J35"/>
    <mergeCell ref="K30:K31"/>
    <mergeCell ref="K32:K33"/>
    <mergeCell ref="K34:K35"/>
    <mergeCell ref="L30:L35"/>
    <mergeCell ref="M30:N35"/>
    <mergeCell ref="O30:O35"/>
    <mergeCell ref="P30:P35"/>
    <mergeCell ref="Q30:R35"/>
    <mergeCell ref="T30:T32"/>
    <mergeCell ref="T33:T35"/>
    <mergeCell ref="U30:V32"/>
    <mergeCell ref="U33:V35"/>
    <mergeCell ref="W30:W32"/>
    <mergeCell ref="W33:W35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B0FBA-669C-4D9E-B3FA-EF93532D23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Abdulkadir</dc:creator>
  <cp:lastModifiedBy>Meriç Yaman</cp:lastModifiedBy>
  <dcterms:created xsi:type="dcterms:W3CDTF">2015-06-05T18:19:34Z</dcterms:created>
  <dcterms:modified xsi:type="dcterms:W3CDTF">2025-11-30T11:00:12Z</dcterms:modified>
</cp:coreProperties>
</file>